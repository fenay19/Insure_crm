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8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8" i="1" l="1"/>
</calcChain>
</file>

<file path=xl/sharedStrings.xml><?xml version="1.0" encoding="utf-8"?>
<sst xmlns="http://schemas.openxmlformats.org/spreadsheetml/2006/main" count="339" uniqueCount="174">
  <si>
    <t>SR. NO FOR THE MONTH</t>
  </si>
  <si>
    <t>MONTH CURRENT</t>
  </si>
  <si>
    <t>SR. NO FOR PREVIOUS MONTH</t>
  </si>
  <si>
    <t>PREVIOUS MONTH</t>
  </si>
  <si>
    <t>PAN NUMBER</t>
  </si>
  <si>
    <t>IMD CODE</t>
  </si>
  <si>
    <t>IMD NAME</t>
  </si>
  <si>
    <t>INTERMEDIARY CATEGORY</t>
  </si>
  <si>
    <t>OEM CATEGORY</t>
  </si>
  <si>
    <t>POLICY/ENDORSEMENT NO.</t>
  </si>
  <si>
    <t>BRANCH CODE</t>
  </si>
  <si>
    <t>BRANCH NAME</t>
  </si>
  <si>
    <t>BRANCH CATEGORY</t>
  </si>
  <si>
    <t>BRANCH STATE</t>
  </si>
  <si>
    <t>LOB CODE</t>
  </si>
  <si>
    <t>LOB NAME</t>
  </si>
  <si>
    <t>CLASS CODE</t>
  </si>
  <si>
    <t>CLASS NAME</t>
  </si>
  <si>
    <t>PRODUCT CODE</t>
  </si>
  <si>
    <t>PRODUCT NAME</t>
  </si>
  <si>
    <t>RTO Location</t>
  </si>
  <si>
    <t>GEO SEGMENT</t>
  </si>
  <si>
    <t>Make Name</t>
  </si>
  <si>
    <t>Model Name</t>
  </si>
  <si>
    <t>Variant</t>
  </si>
  <si>
    <t>Vehicle Age</t>
  </si>
  <si>
    <t>Veh Reg No</t>
  </si>
  <si>
    <t>Cubic Capacity</t>
  </si>
  <si>
    <t>BUSINESS CHANNEL</t>
  </si>
  <si>
    <t>Sub Class  - PR</t>
  </si>
  <si>
    <t>SUB CLASS - BUSINESS</t>
  </si>
  <si>
    <t>BUSINESS TYPE</t>
  </si>
  <si>
    <t>DISCOUNT</t>
  </si>
  <si>
    <t>ROUNDED DISCOUNT</t>
  </si>
  <si>
    <t>PRODUCT + DISCOUNT</t>
  </si>
  <si>
    <t>GWP</t>
  </si>
  <si>
    <t>TP-TERR PREMIUM</t>
  </si>
  <si>
    <t>OD PREMIUM</t>
  </si>
  <si>
    <t xml:space="preserve">TOTAL RATE </t>
  </si>
  <si>
    <t>TOTAL PAYOUT</t>
  </si>
  <si>
    <t>BROKER  COMMISSION (OEM)</t>
  </si>
  <si>
    <t xml:space="preserve">BROKER ADDITIONAL </t>
  </si>
  <si>
    <t>COMMISSION (I)</t>
  </si>
  <si>
    <t xml:space="preserve">PARTNER SHARE </t>
  </si>
  <si>
    <t>ADJUSTMENTS</t>
  </si>
  <si>
    <t>COMMISSION (II)</t>
  </si>
  <si>
    <t>TOTAL COMMISSION</t>
  </si>
  <si>
    <t>LESS WEEKLY COMM</t>
  </si>
  <si>
    <t>FINAL COMM TO BE PAID</t>
  </si>
  <si>
    <t>PRODUCT LOV</t>
  </si>
  <si>
    <t>MASTER TYPE</t>
  </si>
  <si>
    <t xml:space="preserve">PAYOUT APPLICABLE ON </t>
  </si>
  <si>
    <t>SOURCE</t>
  </si>
  <si>
    <t>ISSUANCE SYSTEM</t>
  </si>
  <si>
    <t>PROPOSAL-COVERNOTE ID</t>
  </si>
  <si>
    <t>CUSTOMER- CLIENT ID</t>
  </si>
  <si>
    <t>INSURED NAME</t>
  </si>
  <si>
    <t>POLICY START DATE</t>
  </si>
  <si>
    <t>POLICY END DATE</t>
  </si>
  <si>
    <t>POLICY ISSUE DATE</t>
  </si>
  <si>
    <t>ENDORSEMENT EFFECTIVE DATE</t>
  </si>
  <si>
    <t>Endorsement Type</t>
  </si>
  <si>
    <t>Endorsement Sub Type</t>
  </si>
  <si>
    <t>SM CODE</t>
  </si>
  <si>
    <t>SM NAME</t>
  </si>
  <si>
    <t>COI Number</t>
  </si>
  <si>
    <t>Coinsurance Status</t>
  </si>
  <si>
    <t>FLAG For Statements</t>
  </si>
  <si>
    <t>CHANNEL FLAG</t>
  </si>
  <si>
    <t>X</t>
  </si>
  <si>
    <t>ADJUSTMENT</t>
  </si>
  <si>
    <t xml:space="preserve">TOTAL </t>
  </si>
  <si>
    <t>REMARKS</t>
  </si>
  <si>
    <t>x</t>
  </si>
  <si>
    <t>TEMPLATE FLAG</t>
  </si>
  <si>
    <t>FUEL CATEGORY</t>
  </si>
  <si>
    <t>GST &amp; Exemption Cases</t>
  </si>
  <si>
    <t>-</t>
  </si>
  <si>
    <t>AADCJ5573D</t>
  </si>
  <si>
    <t>IMD1269000</t>
  </si>
  <si>
    <t xml:space="preserve">J P INSURANCE BROKERS   </t>
  </si>
  <si>
    <t>BROKER</t>
  </si>
  <si>
    <t>NON - OEM</t>
  </si>
  <si>
    <t>421640030525700054307000</t>
  </si>
  <si>
    <t>NAGPUR</t>
  </si>
  <si>
    <t>WEST 2 - MH &amp; GOA</t>
  </si>
  <si>
    <t>Maharashtra</t>
  </si>
  <si>
    <t>Health</t>
  </si>
  <si>
    <t>Health Connect Supra Policy</t>
  </si>
  <si>
    <t>NA</t>
  </si>
  <si>
    <t>LI - Agency</t>
  </si>
  <si>
    <t>DEALERSHIP</t>
  </si>
  <si>
    <t>RETAIL SME</t>
  </si>
  <si>
    <t>Renewal Business</t>
  </si>
  <si>
    <t>4216-0</t>
  </si>
  <si>
    <t>RH &amp; IPA Grid</t>
  </si>
  <si>
    <t>Net Premium</t>
  </si>
  <si>
    <t>HB</t>
  </si>
  <si>
    <t>HealthBuzz</t>
  </si>
  <si>
    <t>42161401268</t>
  </si>
  <si>
    <t>4700326716</t>
  </si>
  <si>
    <t xml:space="preserve">Vikas Mishra  </t>
  </si>
  <si>
    <t>N1668267</t>
  </si>
  <si>
    <t>NIKHIL RAUT</t>
  </si>
  <si>
    <t>Own</t>
  </si>
  <si>
    <t>Yes</t>
  </si>
  <si>
    <t>RETAIL</t>
  </si>
  <si>
    <t>7. Non Motor</t>
  </si>
  <si>
    <t>GST Exemption</t>
  </si>
  <si>
    <t>IMD1050358</t>
  </si>
  <si>
    <t>J P INSURANCE BROKERS</t>
  </si>
  <si>
    <t>201140030525700453801000</t>
  </si>
  <si>
    <t>Motor</t>
  </si>
  <si>
    <t>PrivateCar</t>
  </si>
  <si>
    <t>PrivateCarPolicy</t>
  </si>
  <si>
    <t>MAHARASHTRA - 3 N</t>
  </si>
  <si>
    <t>MARUTI</t>
  </si>
  <si>
    <t>BALENO</t>
  </si>
  <si>
    <t>DELTA 1.2</t>
  </si>
  <si>
    <t>MH-31-FE-8761</t>
  </si>
  <si>
    <t>LI - Retail Broking</t>
  </si>
  <si>
    <t>Key Partners</t>
  </si>
  <si>
    <t>KEY PARTNERS</t>
  </si>
  <si>
    <t>2011-85</t>
  </si>
  <si>
    <t>Pvt Car</t>
  </si>
  <si>
    <t>PVT CAR NCB</t>
  </si>
  <si>
    <t>OD Premium</t>
  </si>
  <si>
    <t>GC</t>
  </si>
  <si>
    <t>IMDPORTAL</t>
  </si>
  <si>
    <t>'202512300001985</t>
  </si>
  <si>
    <t>NATWARLAL TRIBHUVANDAS ADATIYA</t>
  </si>
  <si>
    <t>Na</t>
  </si>
  <si>
    <t>10. Motor - Agency + Rb</t>
  </si>
  <si>
    <t>PETROL</t>
  </si>
  <si>
    <t>GST Applicable</t>
  </si>
  <si>
    <t>201140030525700480602000</t>
  </si>
  <si>
    <t>BHOPAL</t>
  </si>
  <si>
    <t>MADHYA PRADESH - 1 BI</t>
  </si>
  <si>
    <t>JEEP</t>
  </si>
  <si>
    <t>COMPASS</t>
  </si>
  <si>
    <t>LIMITED PLUS 2.0 DIESEL 4X4 AT</t>
  </si>
  <si>
    <t>MP-04-CW-8888</t>
  </si>
  <si>
    <t>'202601120028373</t>
  </si>
  <si>
    <t>SHREEJI INFRASPACE PRIVATE LIMITED</t>
  </si>
  <si>
    <t>N1699658</t>
  </si>
  <si>
    <t>ABHIJEET ANILRAO HARDE</t>
  </si>
  <si>
    <t>DIESEL</t>
  </si>
  <si>
    <t>201140030525700479401000</t>
  </si>
  <si>
    <t>AHMEDABAD EAST</t>
  </si>
  <si>
    <t>GUJARAT - 1 A</t>
  </si>
  <si>
    <t>S CROSS</t>
  </si>
  <si>
    <t>SMART HYBRID ZETA</t>
  </si>
  <si>
    <t>GJ-27-DB-3362</t>
  </si>
  <si>
    <t>2011-70</t>
  </si>
  <si>
    <t>'202601120018352</t>
  </si>
  <si>
    <t>NILESHKUMAR NATHALAL TELI</t>
  </si>
  <si>
    <t>201140030525700117403001</t>
  </si>
  <si>
    <t>VITARA BREZZA</t>
  </si>
  <si>
    <t>ZDI</t>
  </si>
  <si>
    <t>MH-49-AS-8582</t>
  </si>
  <si>
    <t>2011-80</t>
  </si>
  <si>
    <t>PVT CAR NON-NCB</t>
  </si>
  <si>
    <t>Genisys Configurator</t>
  </si>
  <si>
    <t>'202601290032891</t>
  </si>
  <si>
    <t>NITESH DAMODHAR ROKADE</t>
  </si>
  <si>
    <t>FINANCIAL</t>
  </si>
  <si>
    <t>Transfer of Insurance</t>
  </si>
  <si>
    <t>201140030525700498303000</t>
  </si>
  <si>
    <t>TOYOTA</t>
  </si>
  <si>
    <t>URBAN CRUISER HYRYDER</t>
  </si>
  <si>
    <t>V AT HYBRID</t>
  </si>
  <si>
    <t>MH-31-FU-7620</t>
  </si>
  <si>
    <t>'202601290002451</t>
  </si>
  <si>
    <t>ASHISH ASHOK KEWALRAMANI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</si>
</sst>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[$-409]mmm\-yy;@"/>
    <numFmt numFmtId="167" formatCode="0.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alibri"/>
      <family val="2"/>
    </font>
    <font>
      <b/>
      <sz val="8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3" fillId="3" borderId="1" xfId="0" applyFont="1" applyFill="1" applyBorder="1" applyAlignment="1">
      <alignment horizontal="left" wrapText="1"/>
    </xf>
    <xf numFmtId="0" fontId="3" fillId="3" borderId="1" xfId="2" applyFont="1" applyFill="1" applyBorder="1" applyAlignment="1">
      <alignment horizontal="left" wrapText="1"/>
    </xf>
    <xf numFmtId="2" fontId="3" fillId="3" borderId="1" xfId="3" applyNumberFormat="1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14" fontId="3" fillId="3" borderId="1" xfId="3" applyNumberFormat="1" applyFont="1" applyFill="1" applyBorder="1" applyAlignment="1">
      <alignment horizontal="left" wrapText="1"/>
    </xf>
    <xf numFmtId="1" fontId="3" fillId="5" borderId="1" xfId="0" applyNumberFormat="1" applyFont="1" applyFill="1" applyBorder="1" applyAlignment="1">
      <alignment horizontal="left" wrapText="1"/>
    </xf>
    <xf numFmtId="165" fontId="4" fillId="6" borderId="1" xfId="3" applyNumberFormat="1" applyFont="1" applyFill="1" applyBorder="1" applyAlignment="1">
      <alignment horizontal="left"/>
    </xf>
    <xf numFmtId="1" fontId="3" fillId="7" borderId="1" xfId="0" applyNumberFormat="1" applyFont="1" applyFill="1" applyBorder="1" applyAlignment="1">
      <alignment horizontal="left" wrapText="1"/>
    </xf>
    <xf numFmtId="1" fontId="3" fillId="7" borderId="1" xfId="4" applyNumberFormat="1" applyFont="1" applyFill="1" applyBorder="1" applyAlignment="1">
      <alignment horizontal="left" wrapText="1"/>
    </xf>
    <xf numFmtId="0" fontId="0" fillId="0" borderId="1" xfId="0" applyBorder="1"/>
    <xf numFmtId="0" fontId="6" fillId="0" borderId="1" xfId="0" applyFont="1" applyBorder="1" applyAlignment="1">
      <alignment horizontal="left"/>
    </xf>
    <xf numFmtId="166" fontId="6" fillId="0" borderId="1" xfId="0" applyNumberFormat="1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164" fontId="6" fillId="0" borderId="1" xfId="5" applyFont="1" applyBorder="1" applyAlignment="1">
      <alignment horizontal="left"/>
    </xf>
    <xf numFmtId="2" fontId="6" fillId="0" borderId="1" xfId="6" applyNumberFormat="1" applyFont="1" applyFill="1" applyBorder="1" applyAlignment="1">
      <alignment horizontal="left"/>
    </xf>
    <xf numFmtId="10" fontId="6" fillId="0" borderId="1" xfId="5" applyNumberFormat="1" applyFont="1" applyFill="1" applyBorder="1" applyAlignment="1">
      <alignment horizontal="left"/>
    </xf>
    <xf numFmtId="3" fontId="6" fillId="0" borderId="1" xfId="5" applyNumberFormat="1" applyFont="1" applyFill="1" applyBorder="1" applyAlignment="1">
      <alignment horizontal="left"/>
    </xf>
    <xf numFmtId="1" fontId="6" fillId="8" borderId="1" xfId="0" applyNumberFormat="1" applyFont="1" applyFill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1" fontId="6" fillId="8" borderId="1" xfId="1" applyNumberFormat="1" applyFont="1" applyFill="1" applyBorder="1" applyAlignment="1">
      <alignment horizontal="left"/>
    </xf>
    <xf numFmtId="1" fontId="6" fillId="9" borderId="1" xfId="1" applyNumberFormat="1" applyFont="1" applyFill="1" applyBorder="1" applyAlignment="1">
      <alignment horizontal="left"/>
    </xf>
    <xf numFmtId="167" fontId="6" fillId="0" borderId="1" xfId="1" applyNumberFormat="1" applyFont="1" applyFill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15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" fontId="6" fillId="0" borderId="1" xfId="6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165" fontId="6" fillId="0" borderId="1" xfId="5" applyNumberFormat="1" applyFont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1" fontId="0" fillId="0" borderId="0" xfId="0" applyNumberFormat="1"/>
  </cellXfs>
  <cellStyles count="7">
    <cellStyle name="Comma 10 10" xfId="6"/>
    <cellStyle name="Comma 10 13" xfId="5"/>
    <cellStyle name="Comma 2 2" xfId="3"/>
    <cellStyle name="Good" xfId="2" builtinId="26"/>
    <cellStyle name="Normal" xfId="0" builtinId="0"/>
    <cellStyle name="Normal 14 4" xfId="4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8"/>
  <sheetViews>
    <sheetView tabSelected="1" topLeftCell="AJ1" workbookViewId="0">
      <selection activeCell="AX14" sqref="AX14"/>
    </sheetView>
  </sheetViews>
  <sheetFormatPr defaultRowHeight="14.25"/>
  <sheetData>
    <row r="1" spans="1:78" s="10" customForma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5" t="s">
        <v>58</v>
      </c>
      <c r="BH1" s="5" t="s">
        <v>59</v>
      </c>
      <c r="BI1" s="5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6" t="s">
        <v>67</v>
      </c>
      <c r="BQ1" s="6" t="s">
        <v>68</v>
      </c>
      <c r="BR1" s="7" t="s">
        <v>69</v>
      </c>
      <c r="BS1" s="1" t="s">
        <v>70</v>
      </c>
      <c r="BT1" s="1" t="s">
        <v>71</v>
      </c>
      <c r="BU1" s="1" t="s">
        <v>72</v>
      </c>
      <c r="BV1" s="8" t="s">
        <v>73</v>
      </c>
      <c r="BW1" s="8" t="s">
        <v>74</v>
      </c>
      <c r="BX1" s="8" t="s">
        <v>75</v>
      </c>
      <c r="BY1" s="8" t="s">
        <v>73</v>
      </c>
      <c r="BZ1" s="9" t="s">
        <v>76</v>
      </c>
    </row>
    <row r="2" spans="1:78" s="10" customFormat="1">
      <c r="A2" s="11">
        <v>1</v>
      </c>
      <c r="B2" s="12">
        <v>46023</v>
      </c>
      <c r="C2" s="11" t="s">
        <v>77</v>
      </c>
      <c r="D2" s="12" t="s">
        <v>77</v>
      </c>
      <c r="E2" s="11" t="s">
        <v>78</v>
      </c>
      <c r="F2" s="11" t="s">
        <v>79</v>
      </c>
      <c r="G2" s="11" t="s">
        <v>80</v>
      </c>
      <c r="H2" s="11" t="s">
        <v>81</v>
      </c>
      <c r="I2" s="11" t="s">
        <v>82</v>
      </c>
      <c r="J2" s="13" t="s">
        <v>83</v>
      </c>
      <c r="K2" s="11">
        <v>400305</v>
      </c>
      <c r="L2" s="11" t="s">
        <v>84</v>
      </c>
      <c r="M2" s="11" t="s">
        <v>85</v>
      </c>
      <c r="N2" s="11" t="s">
        <v>86</v>
      </c>
      <c r="O2" s="11">
        <v>42</v>
      </c>
      <c r="P2" s="11" t="s">
        <v>87</v>
      </c>
      <c r="Q2" s="11">
        <v>42</v>
      </c>
      <c r="R2" s="11" t="s">
        <v>87</v>
      </c>
      <c r="S2" s="11">
        <v>4216</v>
      </c>
      <c r="T2" s="11" t="s">
        <v>88</v>
      </c>
      <c r="U2" s="11" t="s">
        <v>89</v>
      </c>
      <c r="V2" s="11" t="s">
        <v>89</v>
      </c>
      <c r="W2" s="11" t="s">
        <v>89</v>
      </c>
      <c r="X2" s="11"/>
      <c r="Y2" s="11"/>
      <c r="Z2" s="11"/>
      <c r="AA2" s="11"/>
      <c r="AB2" s="11"/>
      <c r="AC2" s="11" t="s">
        <v>90</v>
      </c>
      <c r="AD2" s="11" t="s">
        <v>91</v>
      </c>
      <c r="AE2" s="11" t="s">
        <v>92</v>
      </c>
      <c r="AF2" s="11" t="s">
        <v>93</v>
      </c>
      <c r="AG2" s="14">
        <v>0</v>
      </c>
      <c r="AH2" s="14">
        <v>0</v>
      </c>
      <c r="AI2" s="11" t="s">
        <v>94</v>
      </c>
      <c r="AJ2" s="15">
        <v>5159.28</v>
      </c>
      <c r="AK2" s="14">
        <v>0</v>
      </c>
      <c r="AL2" s="16">
        <v>5159.28</v>
      </c>
      <c r="AM2" s="17">
        <v>8.4699999999999998E-2</v>
      </c>
      <c r="AN2" s="18">
        <v>436.99101599999995</v>
      </c>
      <c r="AO2" s="18">
        <v>0</v>
      </c>
      <c r="AP2" s="18">
        <v>0</v>
      </c>
      <c r="AQ2" s="19">
        <v>0</v>
      </c>
      <c r="AR2" s="20">
        <v>436.99101599999995</v>
      </c>
      <c r="AS2" s="20">
        <v>0</v>
      </c>
      <c r="AT2" s="21">
        <v>436.99101599999995</v>
      </c>
      <c r="AU2" s="22">
        <v>436.99101599999995</v>
      </c>
      <c r="AV2" s="23">
        <v>0</v>
      </c>
      <c r="AW2" s="22">
        <v>436.99101599999995</v>
      </c>
      <c r="AX2" s="11" t="s">
        <v>88</v>
      </c>
      <c r="AY2" s="11" t="s">
        <v>95</v>
      </c>
      <c r="AZ2" s="11" t="s">
        <v>96</v>
      </c>
      <c r="BA2" s="12" t="s">
        <v>97</v>
      </c>
      <c r="BB2" s="11" t="s">
        <v>98</v>
      </c>
      <c r="BC2" s="24" t="s">
        <v>99</v>
      </c>
      <c r="BD2" s="11" t="s">
        <v>100</v>
      </c>
      <c r="BE2" s="11" t="s">
        <v>101</v>
      </c>
      <c r="BF2" s="25">
        <v>46074</v>
      </c>
      <c r="BG2" s="25">
        <v>46438.999305555553</v>
      </c>
      <c r="BH2" s="25">
        <v>46036</v>
      </c>
      <c r="BI2" s="26" t="s">
        <v>89</v>
      </c>
      <c r="BJ2" s="11" t="s">
        <v>89</v>
      </c>
      <c r="BK2" s="11"/>
      <c r="BL2" s="11" t="s">
        <v>102</v>
      </c>
      <c r="BM2" s="11" t="s">
        <v>103</v>
      </c>
      <c r="BN2" s="11" t="s">
        <v>89</v>
      </c>
      <c r="BO2" s="11" t="s">
        <v>104</v>
      </c>
      <c r="BP2" s="11" t="s">
        <v>105</v>
      </c>
      <c r="BQ2" s="11" t="s">
        <v>106</v>
      </c>
      <c r="BR2" s="27"/>
      <c r="BS2" s="28">
        <v>0</v>
      </c>
      <c r="BT2" s="28">
        <v>0</v>
      </c>
      <c r="BU2" s="11" t="s">
        <v>89</v>
      </c>
      <c r="BV2" s="29"/>
      <c r="BW2" s="11" t="s">
        <v>107</v>
      </c>
      <c r="BX2" s="14" t="e">
        <v>#N/A</v>
      </c>
      <c r="BY2" s="27"/>
      <c r="BZ2" s="11" t="s">
        <v>108</v>
      </c>
    </row>
    <row r="3" spans="1:78" s="10" customFormat="1">
      <c r="A3" s="11">
        <v>2</v>
      </c>
      <c r="B3" s="12">
        <v>46023</v>
      </c>
      <c r="C3" s="11" t="s">
        <v>77</v>
      </c>
      <c r="D3" s="12" t="s">
        <v>77</v>
      </c>
      <c r="E3" s="11" t="s">
        <v>78</v>
      </c>
      <c r="F3" s="11" t="s">
        <v>109</v>
      </c>
      <c r="G3" s="11" t="s">
        <v>110</v>
      </c>
      <c r="H3" s="11" t="s">
        <v>81</v>
      </c>
      <c r="I3" s="11" t="s">
        <v>82</v>
      </c>
      <c r="J3" s="13" t="s">
        <v>111</v>
      </c>
      <c r="K3" s="11">
        <v>400305</v>
      </c>
      <c r="L3" s="11" t="s">
        <v>84</v>
      </c>
      <c r="M3" s="11" t="s">
        <v>85</v>
      </c>
      <c r="N3" s="11" t="s">
        <v>86</v>
      </c>
      <c r="O3" s="11">
        <v>20</v>
      </c>
      <c r="P3" s="11" t="s">
        <v>112</v>
      </c>
      <c r="Q3" s="11">
        <v>45</v>
      </c>
      <c r="R3" s="11" t="s">
        <v>113</v>
      </c>
      <c r="S3" s="11">
        <v>2011</v>
      </c>
      <c r="T3" s="11" t="s">
        <v>114</v>
      </c>
      <c r="U3" s="11" t="s">
        <v>84</v>
      </c>
      <c r="V3" s="11" t="s">
        <v>115</v>
      </c>
      <c r="W3" s="11" t="s">
        <v>116</v>
      </c>
      <c r="X3" s="11" t="s">
        <v>117</v>
      </c>
      <c r="Y3" s="11" t="s">
        <v>118</v>
      </c>
      <c r="Z3" s="11">
        <v>5.99</v>
      </c>
      <c r="AA3" s="11" t="s">
        <v>119</v>
      </c>
      <c r="AB3" s="11">
        <v>1197</v>
      </c>
      <c r="AC3" s="11" t="s">
        <v>120</v>
      </c>
      <c r="AD3" s="11" t="s">
        <v>121</v>
      </c>
      <c r="AE3" s="11" t="s">
        <v>122</v>
      </c>
      <c r="AF3" s="11" t="s">
        <v>93</v>
      </c>
      <c r="AG3" s="14">
        <v>85</v>
      </c>
      <c r="AH3" s="14">
        <v>85</v>
      </c>
      <c r="AI3" s="11" t="s">
        <v>123</v>
      </c>
      <c r="AJ3" s="30">
        <v>10881</v>
      </c>
      <c r="AK3" s="14">
        <v>4091</v>
      </c>
      <c r="AL3" s="16">
        <v>6790</v>
      </c>
      <c r="AM3" s="17">
        <v>0.21</v>
      </c>
      <c r="AN3" s="18">
        <v>1425.8999999999999</v>
      </c>
      <c r="AO3" s="18">
        <v>0</v>
      </c>
      <c r="AP3" s="18">
        <v>0</v>
      </c>
      <c r="AQ3" s="19">
        <v>0</v>
      </c>
      <c r="AR3" s="20">
        <v>1425.8999999999999</v>
      </c>
      <c r="AS3" s="20">
        <v>0</v>
      </c>
      <c r="AT3" s="21">
        <v>1425.8999999999999</v>
      </c>
      <c r="AU3" s="22">
        <v>1425.8999999999999</v>
      </c>
      <c r="AV3" s="23">
        <v>0</v>
      </c>
      <c r="AW3" s="22">
        <v>1425.8999999999999</v>
      </c>
      <c r="AX3" s="11" t="s">
        <v>124</v>
      </c>
      <c r="AY3" s="20" t="s">
        <v>125</v>
      </c>
      <c r="AZ3" s="11" t="s">
        <v>126</v>
      </c>
      <c r="BA3" s="12" t="s">
        <v>127</v>
      </c>
      <c r="BB3" s="11" t="s">
        <v>128</v>
      </c>
      <c r="BC3" s="24" t="s">
        <v>129</v>
      </c>
      <c r="BD3" s="11">
        <v>4113655399</v>
      </c>
      <c r="BE3" s="11" t="s">
        <v>130</v>
      </c>
      <c r="BF3" s="25">
        <v>46026</v>
      </c>
      <c r="BG3" s="25">
        <v>46390</v>
      </c>
      <c r="BH3" s="25">
        <v>46024</v>
      </c>
      <c r="BI3" s="26" t="s">
        <v>89</v>
      </c>
      <c r="BJ3" s="11" t="s">
        <v>89</v>
      </c>
      <c r="BK3" s="11"/>
      <c r="BL3" s="11" t="s">
        <v>102</v>
      </c>
      <c r="BM3" s="11" t="s">
        <v>103</v>
      </c>
      <c r="BN3" s="11" t="s">
        <v>89</v>
      </c>
      <c r="BO3" s="11" t="s">
        <v>104</v>
      </c>
      <c r="BP3" s="11" t="s">
        <v>105</v>
      </c>
      <c r="BQ3" s="11" t="s">
        <v>106</v>
      </c>
      <c r="BR3" s="27"/>
      <c r="BS3" s="28">
        <v>0</v>
      </c>
      <c r="BT3" s="28">
        <v>0</v>
      </c>
      <c r="BU3" s="11" t="s">
        <v>131</v>
      </c>
      <c r="BV3" s="29"/>
      <c r="BW3" s="11" t="s">
        <v>132</v>
      </c>
      <c r="BX3" s="14" t="s">
        <v>133</v>
      </c>
      <c r="BY3" s="27"/>
      <c r="BZ3" s="11" t="s">
        <v>134</v>
      </c>
    </row>
    <row r="4" spans="1:78" s="10" customFormat="1">
      <c r="A4" s="11">
        <v>3</v>
      </c>
      <c r="B4" s="12">
        <v>46023</v>
      </c>
      <c r="C4" s="11" t="s">
        <v>77</v>
      </c>
      <c r="D4" s="12" t="s">
        <v>77</v>
      </c>
      <c r="E4" s="11" t="s">
        <v>78</v>
      </c>
      <c r="F4" s="11" t="s">
        <v>109</v>
      </c>
      <c r="G4" s="11" t="s">
        <v>110</v>
      </c>
      <c r="H4" s="11" t="s">
        <v>81</v>
      </c>
      <c r="I4" s="11" t="s">
        <v>82</v>
      </c>
      <c r="J4" s="13" t="s">
        <v>135</v>
      </c>
      <c r="K4" s="11">
        <v>400305</v>
      </c>
      <c r="L4" s="11" t="s">
        <v>84</v>
      </c>
      <c r="M4" s="11" t="s">
        <v>85</v>
      </c>
      <c r="N4" s="11" t="s">
        <v>86</v>
      </c>
      <c r="O4" s="11">
        <v>20</v>
      </c>
      <c r="P4" s="11" t="s">
        <v>112</v>
      </c>
      <c r="Q4" s="11">
        <v>45</v>
      </c>
      <c r="R4" s="11" t="s">
        <v>113</v>
      </c>
      <c r="S4" s="11">
        <v>2011</v>
      </c>
      <c r="T4" s="11" t="s">
        <v>114</v>
      </c>
      <c r="U4" s="11" t="s">
        <v>136</v>
      </c>
      <c r="V4" s="11" t="s">
        <v>137</v>
      </c>
      <c r="W4" s="11" t="s">
        <v>138</v>
      </c>
      <c r="X4" s="11" t="s">
        <v>139</v>
      </c>
      <c r="Y4" s="11" t="s">
        <v>140</v>
      </c>
      <c r="Z4" s="11">
        <v>6.73</v>
      </c>
      <c r="AA4" s="11" t="s">
        <v>141</v>
      </c>
      <c r="AB4" s="11">
        <v>1956</v>
      </c>
      <c r="AC4" s="11" t="s">
        <v>120</v>
      </c>
      <c r="AD4" s="11" t="s">
        <v>121</v>
      </c>
      <c r="AE4" s="11" t="s">
        <v>122</v>
      </c>
      <c r="AF4" s="11" t="s">
        <v>93</v>
      </c>
      <c r="AG4" s="14">
        <v>85</v>
      </c>
      <c r="AH4" s="14">
        <v>85</v>
      </c>
      <c r="AI4" s="11" t="s">
        <v>123</v>
      </c>
      <c r="AJ4" s="30">
        <v>22939</v>
      </c>
      <c r="AK4" s="14">
        <v>8447</v>
      </c>
      <c r="AL4" s="16">
        <v>14492</v>
      </c>
      <c r="AM4" s="17">
        <v>0.20499999999999999</v>
      </c>
      <c r="AN4" s="18">
        <v>2970.8599999999997</v>
      </c>
      <c r="AO4" s="18">
        <v>0</v>
      </c>
      <c r="AP4" s="18">
        <v>0</v>
      </c>
      <c r="AQ4" s="19">
        <v>0</v>
      </c>
      <c r="AR4" s="20">
        <v>2970.8599999999997</v>
      </c>
      <c r="AS4" s="20">
        <v>0</v>
      </c>
      <c r="AT4" s="21">
        <v>2970.8599999999997</v>
      </c>
      <c r="AU4" s="22">
        <v>2970.8599999999997</v>
      </c>
      <c r="AV4" s="23">
        <v>0</v>
      </c>
      <c r="AW4" s="22">
        <v>2970.8599999999997</v>
      </c>
      <c r="AX4" s="11" t="s">
        <v>124</v>
      </c>
      <c r="AY4" s="20" t="s">
        <v>125</v>
      </c>
      <c r="AZ4" s="11" t="s">
        <v>126</v>
      </c>
      <c r="BA4" s="12" t="s">
        <v>127</v>
      </c>
      <c r="BB4" s="11" t="s">
        <v>128</v>
      </c>
      <c r="BC4" s="24" t="s">
        <v>142</v>
      </c>
      <c r="BD4" s="11">
        <v>1112285590</v>
      </c>
      <c r="BE4" s="11" t="s">
        <v>143</v>
      </c>
      <c r="BF4" s="25">
        <v>46039</v>
      </c>
      <c r="BG4" s="25">
        <v>46403</v>
      </c>
      <c r="BH4" s="25">
        <v>46034</v>
      </c>
      <c r="BI4" s="26" t="s">
        <v>89</v>
      </c>
      <c r="BJ4" s="11" t="s">
        <v>89</v>
      </c>
      <c r="BK4" s="11"/>
      <c r="BL4" s="11" t="s">
        <v>144</v>
      </c>
      <c r="BM4" s="11" t="s">
        <v>145</v>
      </c>
      <c r="BN4" s="11" t="s">
        <v>89</v>
      </c>
      <c r="BO4" s="11" t="s">
        <v>104</v>
      </c>
      <c r="BP4" s="11" t="s">
        <v>105</v>
      </c>
      <c r="BQ4" s="11" t="s">
        <v>106</v>
      </c>
      <c r="BR4" s="27"/>
      <c r="BS4" s="28">
        <v>0</v>
      </c>
      <c r="BT4" s="28">
        <v>0</v>
      </c>
      <c r="BU4" s="11" t="s">
        <v>131</v>
      </c>
      <c r="BV4" s="29"/>
      <c r="BW4" s="11" t="s">
        <v>132</v>
      </c>
      <c r="BX4" s="14" t="s">
        <v>146</v>
      </c>
      <c r="BY4" s="27"/>
      <c r="BZ4" s="11" t="s">
        <v>134</v>
      </c>
    </row>
    <row r="5" spans="1:78" s="10" customFormat="1">
      <c r="A5" s="11">
        <v>4</v>
      </c>
      <c r="B5" s="12">
        <v>46023</v>
      </c>
      <c r="C5" s="11" t="s">
        <v>77</v>
      </c>
      <c r="D5" s="12" t="s">
        <v>77</v>
      </c>
      <c r="E5" s="11" t="s">
        <v>78</v>
      </c>
      <c r="F5" s="11" t="s">
        <v>109</v>
      </c>
      <c r="G5" s="11" t="s">
        <v>110</v>
      </c>
      <c r="H5" s="11" t="s">
        <v>81</v>
      </c>
      <c r="I5" s="11" t="s">
        <v>82</v>
      </c>
      <c r="J5" s="13" t="s">
        <v>147</v>
      </c>
      <c r="K5" s="11">
        <v>400305</v>
      </c>
      <c r="L5" s="11" t="s">
        <v>84</v>
      </c>
      <c r="M5" s="11" t="s">
        <v>85</v>
      </c>
      <c r="N5" s="11" t="s">
        <v>86</v>
      </c>
      <c r="O5" s="11">
        <v>20</v>
      </c>
      <c r="P5" s="11" t="s">
        <v>112</v>
      </c>
      <c r="Q5" s="11">
        <v>45</v>
      </c>
      <c r="R5" s="11" t="s">
        <v>113</v>
      </c>
      <c r="S5" s="11">
        <v>2011</v>
      </c>
      <c r="T5" s="11" t="s">
        <v>114</v>
      </c>
      <c r="U5" s="11" t="s">
        <v>148</v>
      </c>
      <c r="V5" s="11" t="s">
        <v>149</v>
      </c>
      <c r="W5" s="11" t="s">
        <v>116</v>
      </c>
      <c r="X5" s="11" t="s">
        <v>150</v>
      </c>
      <c r="Y5" s="11" t="s">
        <v>151</v>
      </c>
      <c r="Z5" s="11">
        <v>5.95</v>
      </c>
      <c r="AA5" s="11" t="s">
        <v>152</v>
      </c>
      <c r="AB5" s="11">
        <v>1248</v>
      </c>
      <c r="AC5" s="11" t="s">
        <v>120</v>
      </c>
      <c r="AD5" s="11" t="s">
        <v>121</v>
      </c>
      <c r="AE5" s="11" t="s">
        <v>122</v>
      </c>
      <c r="AF5" s="11" t="s">
        <v>93</v>
      </c>
      <c r="AG5" s="14">
        <v>71</v>
      </c>
      <c r="AH5" s="14">
        <v>70</v>
      </c>
      <c r="AI5" s="11" t="s">
        <v>153</v>
      </c>
      <c r="AJ5" s="30">
        <v>14609</v>
      </c>
      <c r="AK5" s="14">
        <v>4091</v>
      </c>
      <c r="AL5" s="16">
        <v>10518</v>
      </c>
      <c r="AM5" s="17">
        <v>0.20499999999999999</v>
      </c>
      <c r="AN5" s="18">
        <v>2156.19</v>
      </c>
      <c r="AO5" s="18">
        <v>0</v>
      </c>
      <c r="AP5" s="18">
        <v>0</v>
      </c>
      <c r="AQ5" s="19">
        <v>0</v>
      </c>
      <c r="AR5" s="20">
        <v>2156.19</v>
      </c>
      <c r="AS5" s="20">
        <v>0</v>
      </c>
      <c r="AT5" s="21">
        <v>2156.19</v>
      </c>
      <c r="AU5" s="22">
        <v>2156.19</v>
      </c>
      <c r="AV5" s="23">
        <v>0</v>
      </c>
      <c r="AW5" s="22">
        <v>2156.19</v>
      </c>
      <c r="AX5" s="11" t="s">
        <v>124</v>
      </c>
      <c r="AY5" s="20" t="s">
        <v>125</v>
      </c>
      <c r="AZ5" s="11" t="s">
        <v>126</v>
      </c>
      <c r="BA5" s="12" t="s">
        <v>127</v>
      </c>
      <c r="BB5" s="11" t="s">
        <v>128</v>
      </c>
      <c r="BC5" s="24" t="s">
        <v>154</v>
      </c>
      <c r="BD5" s="11">
        <v>4113692120</v>
      </c>
      <c r="BE5" s="11" t="s">
        <v>155</v>
      </c>
      <c r="BF5" s="25">
        <v>46038</v>
      </c>
      <c r="BG5" s="25">
        <v>46402</v>
      </c>
      <c r="BH5" s="25">
        <v>46034</v>
      </c>
      <c r="BI5" s="26" t="s">
        <v>89</v>
      </c>
      <c r="BJ5" s="11" t="s">
        <v>89</v>
      </c>
      <c r="BK5" s="11"/>
      <c r="BL5" s="11" t="s">
        <v>144</v>
      </c>
      <c r="BM5" s="11" t="s">
        <v>145</v>
      </c>
      <c r="BN5" s="11" t="s">
        <v>89</v>
      </c>
      <c r="BO5" s="11" t="s">
        <v>104</v>
      </c>
      <c r="BP5" s="11" t="s">
        <v>105</v>
      </c>
      <c r="BQ5" s="11" t="s">
        <v>106</v>
      </c>
      <c r="BR5" s="27"/>
      <c r="BS5" s="28">
        <v>0</v>
      </c>
      <c r="BT5" s="28">
        <v>0</v>
      </c>
      <c r="BU5" s="11" t="s">
        <v>131</v>
      </c>
      <c r="BV5" s="29"/>
      <c r="BW5" s="11" t="s">
        <v>132</v>
      </c>
      <c r="BX5" s="14" t="s">
        <v>146</v>
      </c>
      <c r="BY5" s="27"/>
      <c r="BZ5" s="11" t="s">
        <v>134</v>
      </c>
    </row>
    <row r="6" spans="1:78" s="10" customFormat="1">
      <c r="A6" s="11">
        <v>5</v>
      </c>
      <c r="B6" s="12">
        <v>46023</v>
      </c>
      <c r="C6" s="11" t="s">
        <v>77</v>
      </c>
      <c r="D6" s="12" t="s">
        <v>77</v>
      </c>
      <c r="E6" s="11" t="s">
        <v>78</v>
      </c>
      <c r="F6" s="11" t="s">
        <v>109</v>
      </c>
      <c r="G6" s="11" t="s">
        <v>110</v>
      </c>
      <c r="H6" s="11" t="s">
        <v>81</v>
      </c>
      <c r="I6" s="11" t="s">
        <v>82</v>
      </c>
      <c r="J6" s="13" t="s">
        <v>156</v>
      </c>
      <c r="K6" s="11">
        <v>400305</v>
      </c>
      <c r="L6" s="11" t="s">
        <v>84</v>
      </c>
      <c r="M6" s="11" t="s">
        <v>85</v>
      </c>
      <c r="N6" s="11" t="s">
        <v>86</v>
      </c>
      <c r="O6" s="11">
        <v>20</v>
      </c>
      <c r="P6" s="11" t="s">
        <v>112</v>
      </c>
      <c r="Q6" s="11">
        <v>45</v>
      </c>
      <c r="R6" s="11" t="s">
        <v>113</v>
      </c>
      <c r="S6" s="11">
        <v>2011</v>
      </c>
      <c r="T6" s="11" t="s">
        <v>114</v>
      </c>
      <c r="U6" s="11" t="s">
        <v>84</v>
      </c>
      <c r="V6" s="11" t="s">
        <v>115</v>
      </c>
      <c r="W6" s="11" t="s">
        <v>116</v>
      </c>
      <c r="X6" s="11" t="s">
        <v>157</v>
      </c>
      <c r="Y6" s="11" t="s">
        <v>158</v>
      </c>
      <c r="Z6" s="11">
        <v>7</v>
      </c>
      <c r="AA6" s="11" t="s">
        <v>159</v>
      </c>
      <c r="AB6" s="11">
        <v>1248</v>
      </c>
      <c r="AC6" s="11" t="s">
        <v>120</v>
      </c>
      <c r="AD6" s="11" t="s">
        <v>121</v>
      </c>
      <c r="AE6" s="11" t="s">
        <v>122</v>
      </c>
      <c r="AF6" s="11" t="s">
        <v>93</v>
      </c>
      <c r="AG6" s="14">
        <v>80</v>
      </c>
      <c r="AH6" s="14">
        <v>80</v>
      </c>
      <c r="AI6" s="11" t="s">
        <v>160</v>
      </c>
      <c r="AJ6" s="30">
        <v>231</v>
      </c>
      <c r="AK6" s="14">
        <v>0</v>
      </c>
      <c r="AL6" s="16">
        <v>231</v>
      </c>
      <c r="AM6" s="17">
        <v>0.17</v>
      </c>
      <c r="AN6" s="18">
        <v>39.270000000000003</v>
      </c>
      <c r="AO6" s="18">
        <v>0</v>
      </c>
      <c r="AP6" s="18">
        <v>0</v>
      </c>
      <c r="AQ6" s="19">
        <v>0</v>
      </c>
      <c r="AR6" s="20">
        <v>39.270000000000003</v>
      </c>
      <c r="AS6" s="20">
        <v>0</v>
      </c>
      <c r="AT6" s="21">
        <v>39.270000000000003</v>
      </c>
      <c r="AU6" s="22">
        <v>39.270000000000003</v>
      </c>
      <c r="AV6" s="23">
        <v>0</v>
      </c>
      <c r="AW6" s="22">
        <v>39.270000000000003</v>
      </c>
      <c r="AX6" s="11" t="s">
        <v>124</v>
      </c>
      <c r="AY6" s="20" t="s">
        <v>161</v>
      </c>
      <c r="AZ6" s="11" t="s">
        <v>126</v>
      </c>
      <c r="BA6" s="12" t="s">
        <v>127</v>
      </c>
      <c r="BB6" s="11" t="s">
        <v>162</v>
      </c>
      <c r="BC6" s="24" t="s">
        <v>163</v>
      </c>
      <c r="BD6" s="11">
        <v>4115558100</v>
      </c>
      <c r="BE6" s="11" t="s">
        <v>164</v>
      </c>
      <c r="BF6" s="25">
        <v>45805</v>
      </c>
      <c r="BG6" s="25">
        <v>46169</v>
      </c>
      <c r="BH6" s="25">
        <v>46051</v>
      </c>
      <c r="BI6" s="26">
        <v>46049</v>
      </c>
      <c r="BJ6" s="11" t="s">
        <v>165</v>
      </c>
      <c r="BK6" s="11" t="s">
        <v>166</v>
      </c>
      <c r="BL6" s="11" t="s">
        <v>102</v>
      </c>
      <c r="BM6" s="11" t="s">
        <v>103</v>
      </c>
      <c r="BN6" s="11" t="s">
        <v>89</v>
      </c>
      <c r="BO6" s="11" t="s">
        <v>104</v>
      </c>
      <c r="BP6" s="11" t="s">
        <v>105</v>
      </c>
      <c r="BQ6" s="11" t="s">
        <v>106</v>
      </c>
      <c r="BR6" s="27"/>
      <c r="BS6" s="28">
        <v>0</v>
      </c>
      <c r="BT6" s="28">
        <v>0</v>
      </c>
      <c r="BU6" s="11" t="s">
        <v>131</v>
      </c>
      <c r="BV6" s="29"/>
      <c r="BW6" s="11" t="s">
        <v>132</v>
      </c>
      <c r="BX6" s="14" t="s">
        <v>146</v>
      </c>
      <c r="BY6" s="27"/>
      <c r="BZ6" s="11" t="s">
        <v>134</v>
      </c>
    </row>
    <row r="7" spans="1:78" s="10" customFormat="1">
      <c r="A7" s="11">
        <v>6</v>
      </c>
      <c r="B7" s="12">
        <v>46023</v>
      </c>
      <c r="C7" s="11" t="s">
        <v>77</v>
      </c>
      <c r="D7" s="12" t="s">
        <v>77</v>
      </c>
      <c r="E7" s="11" t="s">
        <v>78</v>
      </c>
      <c r="F7" s="11" t="s">
        <v>109</v>
      </c>
      <c r="G7" s="11" t="s">
        <v>110</v>
      </c>
      <c r="H7" s="11" t="s">
        <v>81</v>
      </c>
      <c r="I7" s="11" t="s">
        <v>82</v>
      </c>
      <c r="J7" s="13" t="s">
        <v>167</v>
      </c>
      <c r="K7" s="11">
        <v>400305</v>
      </c>
      <c r="L7" s="11" t="s">
        <v>84</v>
      </c>
      <c r="M7" s="11" t="s">
        <v>85</v>
      </c>
      <c r="N7" s="11" t="s">
        <v>86</v>
      </c>
      <c r="O7" s="11">
        <v>20</v>
      </c>
      <c r="P7" s="11" t="s">
        <v>112</v>
      </c>
      <c r="Q7" s="11">
        <v>45</v>
      </c>
      <c r="R7" s="11" t="s">
        <v>113</v>
      </c>
      <c r="S7" s="11">
        <v>2011</v>
      </c>
      <c r="T7" s="11" t="s">
        <v>114</v>
      </c>
      <c r="U7" s="11" t="s">
        <v>84</v>
      </c>
      <c r="V7" s="11" t="s">
        <v>115</v>
      </c>
      <c r="W7" s="11" t="s">
        <v>168</v>
      </c>
      <c r="X7" s="11" t="s">
        <v>169</v>
      </c>
      <c r="Y7" s="11" t="s">
        <v>170</v>
      </c>
      <c r="Z7" s="11">
        <v>3</v>
      </c>
      <c r="AA7" s="11" t="s">
        <v>171</v>
      </c>
      <c r="AB7" s="11">
        <v>1490</v>
      </c>
      <c r="AC7" s="11" t="s">
        <v>120</v>
      </c>
      <c r="AD7" s="11" t="s">
        <v>121</v>
      </c>
      <c r="AE7" s="11" t="s">
        <v>122</v>
      </c>
      <c r="AF7" s="11" t="s">
        <v>93</v>
      </c>
      <c r="AG7" s="14">
        <v>85</v>
      </c>
      <c r="AH7" s="14">
        <v>85</v>
      </c>
      <c r="AI7" s="11" t="s">
        <v>123</v>
      </c>
      <c r="AJ7" s="30">
        <v>18068</v>
      </c>
      <c r="AK7" s="14">
        <v>3835</v>
      </c>
      <c r="AL7" s="16">
        <v>14233</v>
      </c>
      <c r="AM7" s="17">
        <v>0.21</v>
      </c>
      <c r="AN7" s="18">
        <v>2988.93</v>
      </c>
      <c r="AO7" s="18">
        <v>0</v>
      </c>
      <c r="AP7" s="18">
        <v>0</v>
      </c>
      <c r="AQ7" s="19">
        <v>0</v>
      </c>
      <c r="AR7" s="20">
        <v>2988.93</v>
      </c>
      <c r="AS7" s="20">
        <v>0</v>
      </c>
      <c r="AT7" s="21">
        <v>2988.93</v>
      </c>
      <c r="AU7" s="22">
        <v>2988.93</v>
      </c>
      <c r="AV7" s="23">
        <v>0</v>
      </c>
      <c r="AW7" s="22">
        <v>2988.93</v>
      </c>
      <c r="AX7" s="11" t="s">
        <v>124</v>
      </c>
      <c r="AY7" s="20" t="s">
        <v>125</v>
      </c>
      <c r="AZ7" s="11" t="s">
        <v>126</v>
      </c>
      <c r="BA7" s="12" t="s">
        <v>127</v>
      </c>
      <c r="BB7" s="11" t="s">
        <v>128</v>
      </c>
      <c r="BC7" s="24" t="s">
        <v>172</v>
      </c>
      <c r="BD7" s="11">
        <v>4110814225</v>
      </c>
      <c r="BE7" s="11" t="s">
        <v>173</v>
      </c>
      <c r="BF7" s="25">
        <v>46078</v>
      </c>
      <c r="BG7" s="25">
        <v>46442</v>
      </c>
      <c r="BH7" s="25">
        <v>46052</v>
      </c>
      <c r="BI7" s="26" t="s">
        <v>89</v>
      </c>
      <c r="BJ7" s="11" t="s">
        <v>89</v>
      </c>
      <c r="BK7" s="11"/>
      <c r="BL7" s="11" t="s">
        <v>144</v>
      </c>
      <c r="BM7" s="11" t="s">
        <v>145</v>
      </c>
      <c r="BN7" s="11" t="s">
        <v>89</v>
      </c>
      <c r="BO7" s="11" t="s">
        <v>104</v>
      </c>
      <c r="BP7" s="11" t="s">
        <v>105</v>
      </c>
      <c r="BQ7" s="11" t="s">
        <v>106</v>
      </c>
      <c r="BR7" s="27"/>
      <c r="BS7" s="28">
        <v>0</v>
      </c>
      <c r="BT7" s="28">
        <v>0</v>
      </c>
      <c r="BU7" s="11" t="s">
        <v>131</v>
      </c>
      <c r="BV7" s="29"/>
      <c r="BW7" s="11" t="s">
        <v>132</v>
      </c>
      <c r="BX7" s="14" t="s">
        <v>133</v>
      </c>
      <c r="BY7" s="27"/>
      <c r="BZ7" s="11" t="s">
        <v>134</v>
      </c>
    </row>
    <row r="8" spans="1:78">
      <c r="A8" s="31"/>
      <c r="AW8" s="32">
        <f>SUM(AW2:AW7)</f>
        <v>10018.141016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Liberty Mutual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Harde, Abhijeet</dc:creator>
  <cp:lastModifiedBy>Admin</cp:lastModifiedBy>
  <dcterms:created xsi:type="dcterms:W3CDTF">2026-02-11T12:16:18Z</dcterms:created>
  <dcterms:modified xsi:type="dcterms:W3CDTF">2026-02-12T12:11:11Z</dcterms:modified>
</cp:coreProperties>
</file>